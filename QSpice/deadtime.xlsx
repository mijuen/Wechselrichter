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juen\workspace\privat_projekte\Wechselrichter\QSpice\"/>
    </mc:Choice>
  </mc:AlternateContent>
  <xr:revisionPtr revIDLastSave="0" documentId="13_ncr:1_{00D10E1B-3903-4A46-A2A9-459B5123FA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6" i="1"/>
  <c r="D5" i="1"/>
  <c r="D4" i="1"/>
  <c r="D7" i="1" l="1"/>
</calcChain>
</file>

<file path=xl/sharedStrings.xml><?xml version="1.0" encoding="utf-8"?>
<sst xmlns="http://schemas.openxmlformats.org/spreadsheetml/2006/main" count="16" uniqueCount="15">
  <si>
    <t>R1</t>
  </si>
  <si>
    <t>C3</t>
  </si>
  <si>
    <t>U_uC</t>
  </si>
  <si>
    <t>uC</t>
  </si>
  <si>
    <t>STM32</t>
  </si>
  <si>
    <t>Arduino</t>
  </si>
  <si>
    <t>V_in_thres</t>
  </si>
  <si>
    <t>on delay</t>
  </si>
  <si>
    <t>[-]</t>
  </si>
  <si>
    <t>[V]</t>
  </si>
  <si>
    <t>[nF]</t>
  </si>
  <si>
    <t>[kOhm]</t>
  </si>
  <si>
    <t>[ns]</t>
  </si>
  <si>
    <t>duty_hi</t>
  </si>
  <si>
    <t>V_out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</si>
</sst>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2" borderId="0" xfId="0" applyNumberFormat="1" applyFill="1"/>
    <xf numFmtId="165" fontId="0" fillId="0" borderId="0" xfId="0" applyNumberFormat="1"/>
    <xf numFmtId="165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Tabelle2!$C$5:$C$13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Tabelle2!$D$5:$D$13</c:f>
              <c:numCache>
                <c:formatCode>General</c:formatCode>
                <c:ptCount val="9"/>
                <c:pt idx="0">
                  <c:v>1.1000000000000001</c:v>
                </c:pt>
                <c:pt idx="1">
                  <c:v>2.85</c:v>
                </c:pt>
                <c:pt idx="2">
                  <c:v>4.5999999999999996</c:v>
                </c:pt>
                <c:pt idx="3">
                  <c:v>6.3</c:v>
                </c:pt>
                <c:pt idx="4">
                  <c:v>8</c:v>
                </c:pt>
                <c:pt idx="5">
                  <c:v>9.6300000000000008</c:v>
                </c:pt>
                <c:pt idx="6">
                  <c:v>11.23</c:v>
                </c:pt>
                <c:pt idx="7">
                  <c:v>12.9</c:v>
                </c:pt>
                <c:pt idx="8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C0-40B5-B7F1-B9BB3C67F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641455"/>
        <c:axId val="1292640975"/>
      </c:scatterChart>
      <c:valAx>
        <c:axId val="12926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2640975"/>
        <c:crosses val="autoZero"/>
        <c:crossBetween val="midCat"/>
      </c:valAx>
      <c:valAx>
        <c:axId val="12926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26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114300</xdr:rowOff>
    </xdr:from>
    <xdr:to>
      <xdr:col>13</xdr:col>
      <xdr:colOff>341658</xdr:colOff>
      <xdr:row>15</xdr:row>
      <xdr:rowOff>135615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A1CBD63-5022-C30F-59A3-BF935F1B8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2840" y="297180"/>
          <a:ext cx="4753638" cy="2581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701040</xdr:colOff>
      <xdr:row>2</xdr:row>
      <xdr:rowOff>110490</xdr:rowOff>
    </xdr:from>
    <xdr:to>
      <xdr:col>10</xdr:col>
      <xdr:colOff>518160</xdr:colOff>
      <xdr:row>17</xdr:row>
      <xdr:rowOff>110490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0493671-84CD-D09D-DCCE-BE7F511B4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topLeftCell="A11" workbookViewId="0">
      <selection activeCell="C22" sqref="C22"/>
    </sheetView>
  </sheetViews>
  <sheetFormatPr baseColWidth="10" defaultColWidth="8.88671875" defaultRowHeight="14.4" x14ac:dyDescent="0.3"/>
  <cols>
    <col min="1" max="1" width="11.88671875" bestFit="1" customWidth="1"/>
    <col min="2" max="2" width="11.88671875" customWidth="1"/>
    <col min="3" max="3" width="10.77734375" customWidth="1"/>
    <col min="4" max="4" width="16.6640625" bestFit="1" customWidth="1"/>
  </cols>
  <sheetData>
    <row r="2" spans="1:4" x14ac:dyDescent="0.3">
      <c r="A2" t="s">
        <v>3</v>
      </c>
      <c r="B2" t="s">
        <v>8</v>
      </c>
      <c r="C2" t="s">
        <v>4</v>
      </c>
      <c r="D2" t="s">
        <v>5</v>
      </c>
    </row>
    <row r="3" spans="1:4" x14ac:dyDescent="0.3">
      <c r="A3" t="s">
        <v>2</v>
      </c>
      <c r="B3" t="s">
        <v>9</v>
      </c>
      <c r="C3" s="2">
        <v>3.3</v>
      </c>
      <c r="D3" s="2">
        <v>5</v>
      </c>
    </row>
    <row r="4" spans="1:4" x14ac:dyDescent="0.3">
      <c r="A4" t="s">
        <v>0</v>
      </c>
      <c r="B4" t="s">
        <v>11</v>
      </c>
      <c r="C4" s="2">
        <v>5.0999999999999996</v>
      </c>
      <c r="D4" s="3">
        <f>C4</f>
        <v>5.0999999999999996</v>
      </c>
    </row>
    <row r="5" spans="1:4" x14ac:dyDescent="0.3">
      <c r="A5" t="s">
        <v>1</v>
      </c>
      <c r="B5" t="s">
        <v>10</v>
      </c>
      <c r="C5" s="2">
        <v>1</v>
      </c>
      <c r="D5" s="3">
        <f>C5</f>
        <v>1</v>
      </c>
    </row>
    <row r="6" spans="1:4" x14ac:dyDescent="0.3">
      <c r="A6" t="s">
        <v>6</v>
      </c>
      <c r="B6" t="s">
        <v>9</v>
      </c>
      <c r="C6" s="2">
        <v>0.8</v>
      </c>
      <c r="D6" s="3">
        <f>C6</f>
        <v>0.8</v>
      </c>
    </row>
    <row r="7" spans="1:4" x14ac:dyDescent="0.3">
      <c r="A7" s="1" t="s">
        <v>7</v>
      </c>
      <c r="B7" t="s">
        <v>12</v>
      </c>
      <c r="C7" s="4">
        <f>-C4*(10^3)*C5*(10^-9)*LN((C3-C6)/C3)*10^9</f>
        <v>1415.9218566512257</v>
      </c>
      <c r="D7" s="4">
        <f>-D4*(10^3)*D5*(10^-9)*LN((D3-D6)/D3)*10^9</f>
        <v>889.20227443836609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5655-37A3-48EC-BF5B-0EB29B0BECD4}">
  <dimension ref="C4:D13"/>
  <sheetViews>
    <sheetView tabSelected="1" workbookViewId="0">
      <selection activeCell="N19" sqref="N19"/>
    </sheetView>
  </sheetViews>
  <sheetFormatPr baseColWidth="10" defaultRowHeight="14.4" x14ac:dyDescent="0.3"/>
  <sheetData>
    <row r="4" spans="3:4" x14ac:dyDescent="0.3">
      <c r="C4" t="s">
        <v>13</v>
      </c>
      <c r="D4" t="s">
        <v>14</v>
      </c>
    </row>
    <row r="5" spans="3:4" x14ac:dyDescent="0.3">
      <c r="C5">
        <v>0.1</v>
      </c>
      <c r="D5">
        <v>1.1000000000000001</v>
      </c>
    </row>
    <row r="6" spans="3:4" x14ac:dyDescent="0.3">
      <c r="C6">
        <v>0.2</v>
      </c>
      <c r="D6">
        <v>2.85</v>
      </c>
    </row>
    <row r="7" spans="3:4" x14ac:dyDescent="0.3">
      <c r="C7">
        <v>0.3</v>
      </c>
      <c r="D7">
        <v>4.5999999999999996</v>
      </c>
    </row>
    <row r="8" spans="3:4" x14ac:dyDescent="0.3">
      <c r="C8">
        <v>0.4</v>
      </c>
      <c r="D8">
        <v>6.3</v>
      </c>
    </row>
    <row r="9" spans="3:4" x14ac:dyDescent="0.3">
      <c r="C9">
        <v>0.5</v>
      </c>
      <c r="D9">
        <v>8</v>
      </c>
    </row>
    <row r="10" spans="3:4" x14ac:dyDescent="0.3">
      <c r="C10">
        <v>0.6</v>
      </c>
      <c r="D10">
        <v>9.6300000000000008</v>
      </c>
    </row>
    <row r="11" spans="3:4" x14ac:dyDescent="0.3">
      <c r="C11">
        <v>0.7</v>
      </c>
      <c r="D11">
        <v>11.23</v>
      </c>
    </row>
    <row r="12" spans="3:4" x14ac:dyDescent="0.3">
      <c r="C12">
        <v>0.8</v>
      </c>
      <c r="D12">
        <v>12.9</v>
      </c>
    </row>
    <row r="13" spans="3:4" x14ac:dyDescent="0.3">
      <c r="C13">
        <v>0.9</v>
      </c>
      <c r="D13">
        <v>14.3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Jüngling</dc:creator>
  <cp:lastModifiedBy>Michael Jüngling</cp:lastModifiedBy>
  <dcterms:created xsi:type="dcterms:W3CDTF">2015-06-05T18:19:34Z</dcterms:created>
  <dcterms:modified xsi:type="dcterms:W3CDTF">2026-08-15T10:14:16Z</dcterms:modified>
</cp:coreProperties>
</file>